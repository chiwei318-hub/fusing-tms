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參數表" sheetId="1" state="visible" r:id="rId1"/>
    <sheet xmlns:r="http://schemas.openxmlformats.org/officeDocument/2006/relationships" name="車輛營運報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NT$&quot;#,##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4" fontId="1" fillId="0" borderId="1"/>
    <xf numFmtId="10" fontId="1" fillId="0" borderId="1"/>
  </cellStyleXfs>
  <cellXfs count="3">
    <xf numFmtId="0" fontId="0" fillId="0" borderId="0" pivotButton="0" quotePrefix="0" xfId="0"/>
    <xf numFmtId="164" fontId="1" fillId="0" borderId="1" pivotButton="0" quotePrefix="0" xfId="1"/>
    <xf numFmtId="10" fontId="1" fillId="0" borderId="1" pivotButton="0" quotePrefix="0" xfId="2"/>
  </cellXfs>
  <cellStyles count="3">
    <cellStyle name="Normal" xfId="0" builtinId="0" hidden="0"/>
    <cellStyle name="currency_nt$" xfId="1" hidden="0"/>
    <cellStyle name="percent_2f" xfId="2" hidden="0"/>
  </cellStyles>
  <dxfs count="1">
    <dxf>
      <fill>
        <patternFill patternType="solid">
          <fgColor rgb="00FFCCCC"/>
          <b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參數項目</t>
        </is>
      </c>
      <c r="B1" t="inlineStr">
        <is>
          <t>年度金額</t>
        </is>
      </c>
    </row>
    <row r="2">
      <c r="A2" t="inlineStr">
        <is>
          <t>年度保險費</t>
        </is>
      </c>
      <c r="B2" s="1" t="n">
        <v>120000</v>
      </c>
    </row>
    <row r="3">
      <c r="A3" t="inlineStr">
        <is>
          <t>年度折舊額</t>
        </is>
      </c>
      <c r="B3" s="1" t="n">
        <v>240000</v>
      </c>
    </row>
    <row r="4">
      <c r="A4" t="inlineStr">
        <is>
          <t>每公里油耗(公升)</t>
        </is>
      </c>
      <c r="B4" t="n">
        <v>0.35</v>
      </c>
    </row>
    <row r="5">
      <c r="A5" t="inlineStr">
        <is>
          <t>柴油單價</t>
        </is>
      </c>
      <c r="B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車牌號碼</t>
        </is>
      </c>
      <c r="B1" t="inlineStr">
        <is>
          <t>車型</t>
        </is>
      </c>
      <c r="C1" t="inlineStr">
        <is>
          <t>噸數</t>
        </is>
      </c>
      <c r="D1" t="inlineStr">
        <is>
          <t>車價</t>
        </is>
      </c>
      <c r="E1" t="inlineStr">
        <is>
          <t>總里程(km)</t>
        </is>
      </c>
      <c r="F1" t="inlineStr">
        <is>
          <t>運費收入</t>
        </is>
      </c>
      <c r="G1" t="inlineStr">
        <is>
          <t>油費支出</t>
        </is>
      </c>
      <c r="H1" t="inlineStr">
        <is>
          <t>過路費</t>
        </is>
      </c>
      <c r="I1" t="inlineStr">
        <is>
          <t>維修費用</t>
        </is>
      </c>
      <c r="J1" t="inlineStr">
        <is>
          <t>輪胎費用</t>
        </is>
      </c>
      <c r="K1" t="inlineStr">
        <is>
          <t>保險費用</t>
        </is>
      </c>
      <c r="L1" t="inlineStr">
        <is>
          <t>折舊費用</t>
        </is>
      </c>
      <c r="M1" t="inlineStr">
        <is>
          <t>其他支出</t>
        </is>
      </c>
      <c r="N1" t="inlineStr">
        <is>
          <t>總支出</t>
        </is>
      </c>
      <c r="O1" t="inlineStr">
        <is>
          <t>淨利潤</t>
        </is>
      </c>
      <c r="P1" t="inlineStr">
        <is>
          <t>利潤率(%)</t>
        </is>
      </c>
      <c r="Q1" t="inlineStr">
        <is>
          <t>每月折舊</t>
        </is>
      </c>
      <c r="R1" t="inlineStr">
        <is>
          <t>已使用月數</t>
        </is>
      </c>
      <c r="S1" t="inlineStr">
        <is>
          <t>累計折舊</t>
        </is>
      </c>
      <c r="T1" t="inlineStr">
        <is>
          <t>殘值</t>
        </is>
      </c>
      <c r="U1" t="inlineStr">
        <is>
          <t>車輛狀態</t>
        </is>
      </c>
    </row>
    <row r="2">
      <c r="A2" t="inlineStr">
        <is>
          <t>ABC-1234</t>
        </is>
      </c>
      <c r="B2" t="inlineStr">
        <is>
          <t>曳引車</t>
        </is>
      </c>
      <c r="C2" t="n">
        <v>35</v>
      </c>
      <c r="D2" t="n">
        <v>900000</v>
      </c>
      <c r="E2" t="n">
        <v>5200</v>
      </c>
      <c r="F2" s="1" t="n">
        <v>120000</v>
      </c>
      <c r="G2" s="1">
        <f>IF(E2&gt;0,E2*參數表!$B$3*參數表!$B$4,0)</f>
        <v/>
      </c>
      <c r="H2" s="1" t="n">
        <v>4500</v>
      </c>
      <c r="I2" s="1" t="n">
        <v>8000</v>
      </c>
      <c r="J2" s="1" t="n">
        <v>12000</v>
      </c>
      <c r="K2" s="1">
        <f>參數表!$B$2/12</f>
        <v/>
      </c>
      <c r="L2" s="1">
        <f>參數表!$B$3/12</f>
        <v/>
      </c>
      <c r="M2" s="1" t="n">
        <v>2000</v>
      </c>
      <c r="N2" s="1">
        <f>SUM(G2:M2)</f>
        <v/>
      </c>
      <c r="O2" s="1">
        <f>F2-N2</f>
        <v/>
      </c>
      <c r="P2" s="2">
        <f>ROUND(O2/F2*100,2)</f>
        <v/>
      </c>
      <c r="Q2" s="1">
        <f>IF(D2&gt;0,D2/60,0)</f>
        <v/>
      </c>
      <c r="R2">
        <f>(2025-2022)*12</f>
        <v/>
      </c>
      <c r="S2" s="1">
        <f>MIN(Q2*R2,D2)</f>
        <v/>
      </c>
      <c r="T2" s="1">
        <f>D2-S2</f>
        <v/>
      </c>
      <c r="U2">
        <f>IF(D2&gt;0,IF(T2/D2&lt;0.2,"建議報廢","可再投入"),"")</f>
        <v/>
      </c>
    </row>
  </sheetData>
  <conditionalFormatting sqref="O2:O100">
    <cfRule type="cellIs" priority="1" operator="lessThan" dxfId="0">
      <formula>0</formula>
    </cfRule>
  </conditionalFormatting>
  <dataValidations count="2">
    <dataValidation sqref="D2:D100" showErrorMessage="1" showInputMessage="1" allowBlank="0" error="車價需為正數" prompt="請輸入正數車價" type="decimal" operator="greaterThan">
      <formula1>0</formula1>
    </dataValidation>
    <dataValidation sqref="E2:E100" showErrorMessage="1" showInputMessage="1" allowBlank="0" error="總里程需為正整數" prompt="請輸入正整數總里程" type="whole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2025-05-20T13:32:29Z</dcterms:created>
  <dcterms:modified xmlns:dcterms="http://purl.org/dc/terms/" xmlns:xsi="http://www.w3.org/2001/XMLSchema-instance" xsi:type="dcterms:W3CDTF">2025-05-20T13:32:29Z</dcterms:modified>
</cp:coreProperties>
</file>